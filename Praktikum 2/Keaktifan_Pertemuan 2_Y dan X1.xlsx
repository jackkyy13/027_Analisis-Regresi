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8cdabbe2ef22eb/Dokumen/"/>
    </mc:Choice>
  </mc:AlternateContent>
  <xr:revisionPtr revIDLastSave="3" documentId="8_{2F6BFBB0-7F81-4CA3-9775-D0F756D4D354}" xr6:coauthVersionLast="47" xr6:coauthVersionMax="47" xr10:uidLastSave="{0148B24F-136F-41EC-A484-3F6EF79E8C72}"/>
  <bookViews>
    <workbookView xWindow="-110" yWindow="-110" windowWidth="19420" windowHeight="11500" xr2:uid="{B9874820-FD05-4E1D-9EBF-F679F8E42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I2" i="1"/>
  <c r="K5" i="1"/>
  <c r="B122" i="1"/>
  <c r="A122" i="1"/>
  <c r="K4" i="1"/>
  <c r="G121" i="1"/>
  <c r="D121" i="1"/>
  <c r="C1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2" i="1"/>
  <c r="I3" i="1"/>
</calcChain>
</file>

<file path=xl/sharedStrings.xml><?xml version="1.0" encoding="utf-8"?>
<sst xmlns="http://schemas.openxmlformats.org/spreadsheetml/2006/main" count="9" uniqueCount="7">
  <si>
    <t>Indeks Pembangunan Manusia</t>
  </si>
  <si>
    <t>Rata-Rata Lama Sekolah</t>
  </si>
  <si>
    <t>b0</t>
  </si>
  <si>
    <t>Sxy/Sxx</t>
  </si>
  <si>
    <t>b1</t>
  </si>
  <si>
    <t>y bar-b1xbar</t>
  </si>
  <si>
    <t>Y dan X1 yang dihitung saya di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</si>
</sst>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1" fillId="3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9CC0-B863-4A7B-A62A-A47DBAAF10F7}">
  <dimension ref="A1:L122"/>
  <sheetViews>
    <sheetView tabSelected="1" workbookViewId="0">
      <selection activeCell="E3" sqref="E3"/>
    </sheetView>
  </sheetViews>
  <sheetFormatPr defaultRowHeight="14.5" x14ac:dyDescent="0.35"/>
  <sheetData>
    <row r="1" spans="1:12" x14ac:dyDescent="0.35">
      <c r="A1" s="1" t="s">
        <v>0</v>
      </c>
      <c r="B1" s="3" t="s">
        <v>1</v>
      </c>
      <c r="I1" t="s">
        <v>6</v>
      </c>
    </row>
    <row r="2" spans="1:12" x14ac:dyDescent="0.35">
      <c r="A2" s="2">
        <v>76.69</v>
      </c>
      <c r="B2" s="2">
        <v>9.26</v>
      </c>
      <c r="C2">
        <f>(A2-75.74613)^2</f>
        <v>0.8908905769000075</v>
      </c>
      <c r="D2">
        <f>(B2-8.832353)^2</f>
        <v>0.18288195660900028</v>
      </c>
      <c r="E2">
        <f>(A2-75.74613)</f>
        <v>0.94387000000000398</v>
      </c>
      <c r="F2">
        <f>(B2-8.832353)</f>
        <v>0.42764700000000033</v>
      </c>
      <c r="G2">
        <f>E2*F2</f>
        <v>0.40364317389000204</v>
      </c>
      <c r="I2" s="4">
        <f>AVERAGE(A2:A120)</f>
        <v>75.746134453781551</v>
      </c>
      <c r="J2" s="4" t="s">
        <v>4</v>
      </c>
      <c r="K2" s="4" t="s">
        <v>3</v>
      </c>
      <c r="L2" s="4"/>
    </row>
    <row r="3" spans="1:12" x14ac:dyDescent="0.35">
      <c r="A3" s="2">
        <v>87.57</v>
      </c>
      <c r="B3" s="2">
        <v>11.95</v>
      </c>
      <c r="C3">
        <f t="shared" ref="C3:C66" si="0">(A3-75.74613)^2</f>
        <v>139.80390177689998</v>
      </c>
      <c r="D3">
        <f t="shared" ref="D3:D66" si="1">(B3-8.832353)^2</f>
        <v>9.7197228166089982</v>
      </c>
      <c r="E3">
        <f t="shared" ref="E3:E66" si="2">(A3-75.74613)</f>
        <v>11.823869999999999</v>
      </c>
      <c r="F3">
        <f t="shared" ref="F3:F66" si="3">(B3-8.832353)</f>
        <v>3.1176469999999998</v>
      </c>
      <c r="G3">
        <f t="shared" ref="G3:G66" si="4">E3*F3</f>
        <v>36.862652833889996</v>
      </c>
      <c r="I3" s="4">
        <f>AVERAGE(B2:B120)</f>
        <v>8.8323529411764667</v>
      </c>
      <c r="J3" s="4" t="s">
        <v>2</v>
      </c>
      <c r="K3" s="4" t="s">
        <v>5</v>
      </c>
      <c r="L3" s="4"/>
    </row>
    <row r="4" spans="1:12" x14ac:dyDescent="0.35">
      <c r="A4" s="2">
        <v>84.76</v>
      </c>
      <c r="B4" s="2">
        <v>11.99</v>
      </c>
      <c r="C4">
        <f t="shared" si="0"/>
        <v>81.249852376900208</v>
      </c>
      <c r="D4">
        <f t="shared" si="1"/>
        <v>9.9707345766090043</v>
      </c>
      <c r="E4">
        <f t="shared" si="2"/>
        <v>9.0138700000000114</v>
      </c>
      <c r="F4">
        <f t="shared" si="3"/>
        <v>3.1576470000000008</v>
      </c>
      <c r="G4">
        <f t="shared" si="4"/>
        <v>28.462619563890044</v>
      </c>
      <c r="I4" s="4"/>
      <c r="J4" s="4" t="s">
        <v>4</v>
      </c>
      <c r="K4" s="4">
        <f>G121/D121</f>
        <v>2.8749767427562065</v>
      </c>
      <c r="L4" s="4"/>
    </row>
    <row r="5" spans="1:12" x14ac:dyDescent="0.35">
      <c r="A5" s="2">
        <v>83.75</v>
      </c>
      <c r="B5" s="2">
        <v>11.61</v>
      </c>
      <c r="C5">
        <f t="shared" si="0"/>
        <v>64.061934976900105</v>
      </c>
      <c r="D5">
        <f t="shared" si="1"/>
        <v>7.7153228566090002</v>
      </c>
      <c r="E5">
        <f t="shared" si="2"/>
        <v>8.0038700000000063</v>
      </c>
      <c r="F5">
        <f t="shared" si="3"/>
        <v>2.777647</v>
      </c>
      <c r="G5">
        <f t="shared" si="4"/>
        <v>22.231925493890017</v>
      </c>
      <c r="I5" s="4"/>
      <c r="J5" s="4" t="s">
        <v>2</v>
      </c>
      <c r="K5" s="4">
        <f>A122-K4*B122</f>
        <v>50.353325164084836</v>
      </c>
      <c r="L5" s="4"/>
    </row>
    <row r="6" spans="1:12" x14ac:dyDescent="0.35">
      <c r="A6" s="2">
        <v>84.4</v>
      </c>
      <c r="B6" s="2">
        <v>11.24</v>
      </c>
      <c r="C6">
        <f t="shared" si="0"/>
        <v>74.889465976900212</v>
      </c>
      <c r="D6">
        <f t="shared" si="1"/>
        <v>5.7967640766090041</v>
      </c>
      <c r="E6">
        <f t="shared" si="2"/>
        <v>8.6538700000000119</v>
      </c>
      <c r="F6">
        <f t="shared" si="3"/>
        <v>2.4076470000000008</v>
      </c>
      <c r="G6">
        <f t="shared" si="4"/>
        <v>20.835464143890036</v>
      </c>
    </row>
    <row r="7" spans="1:12" x14ac:dyDescent="0.35">
      <c r="A7" s="2">
        <v>82.13</v>
      </c>
      <c r="B7" s="2">
        <v>10.85</v>
      </c>
      <c r="C7">
        <f t="shared" si="0"/>
        <v>40.753796176900025</v>
      </c>
      <c r="D7">
        <f t="shared" si="1"/>
        <v>4.0708994166090005</v>
      </c>
      <c r="E7">
        <f t="shared" si="2"/>
        <v>6.3838700000000017</v>
      </c>
      <c r="F7">
        <f t="shared" si="3"/>
        <v>2.0176470000000002</v>
      </c>
      <c r="G7">
        <f t="shared" si="4"/>
        <v>12.880396153890004</v>
      </c>
    </row>
    <row r="8" spans="1:12" x14ac:dyDescent="0.35">
      <c r="A8" s="2">
        <v>73.63</v>
      </c>
      <c r="B8" s="2">
        <v>8.89</v>
      </c>
      <c r="C8">
        <f t="shared" si="0"/>
        <v>4.478006176899993</v>
      </c>
      <c r="D8">
        <f t="shared" si="1"/>
        <v>3.3231766090001283E-3</v>
      </c>
      <c r="E8">
        <f t="shared" si="2"/>
        <v>-2.1161299999999983</v>
      </c>
      <c r="F8">
        <f t="shared" si="3"/>
        <v>5.7647000000001114E-2</v>
      </c>
      <c r="G8">
        <f t="shared" si="4"/>
        <v>-0.12198854611000226</v>
      </c>
    </row>
    <row r="9" spans="1:12" x14ac:dyDescent="0.35">
      <c r="A9" s="2">
        <v>70.180000000000007</v>
      </c>
      <c r="B9" s="2">
        <v>7.75</v>
      </c>
      <c r="C9">
        <f t="shared" si="0"/>
        <v>30.981803176899856</v>
      </c>
      <c r="D9">
        <f t="shared" si="1"/>
        <v>1.1714880166089989</v>
      </c>
      <c r="E9">
        <f t="shared" si="2"/>
        <v>-5.5661299999999869</v>
      </c>
      <c r="F9">
        <f t="shared" si="3"/>
        <v>-1.0823529999999995</v>
      </c>
      <c r="G9">
        <f t="shared" si="4"/>
        <v>6.0245175038899825</v>
      </c>
    </row>
    <row r="10" spans="1:12" x14ac:dyDescent="0.35">
      <c r="A10" s="2">
        <v>68.89</v>
      </c>
      <c r="B10" s="2">
        <v>7.91</v>
      </c>
      <c r="C10">
        <f t="shared" si="0"/>
        <v>47.006518576899907</v>
      </c>
      <c r="D10">
        <f t="shared" si="1"/>
        <v>0.85073505660899873</v>
      </c>
      <c r="E10">
        <f t="shared" si="2"/>
        <v>-6.8561299999999932</v>
      </c>
      <c r="F10">
        <f t="shared" si="3"/>
        <v>-0.92235299999999931</v>
      </c>
      <c r="G10">
        <f t="shared" si="4"/>
        <v>6.3237720738899892</v>
      </c>
    </row>
    <row r="11" spans="1:12" x14ac:dyDescent="0.35">
      <c r="A11" s="2">
        <v>74.59</v>
      </c>
      <c r="B11" s="2">
        <v>9.4499999999999993</v>
      </c>
      <c r="C11">
        <f t="shared" si="0"/>
        <v>1.3366365768999777</v>
      </c>
      <c r="D11">
        <f t="shared" si="1"/>
        <v>0.38148781660899977</v>
      </c>
      <c r="E11">
        <f t="shared" si="2"/>
        <v>-1.1561299999999903</v>
      </c>
      <c r="F11">
        <f t="shared" si="3"/>
        <v>0.61764699999999984</v>
      </c>
      <c r="G11">
        <f t="shared" si="4"/>
        <v>-0.71408022610999389</v>
      </c>
    </row>
    <row r="12" spans="1:12" x14ac:dyDescent="0.35">
      <c r="A12" s="2">
        <v>69.91</v>
      </c>
      <c r="B12" s="2">
        <v>8.31</v>
      </c>
      <c r="C12">
        <f t="shared" si="0"/>
        <v>34.060413376899966</v>
      </c>
      <c r="D12">
        <f t="shared" si="1"/>
        <v>0.27285265660899893</v>
      </c>
      <c r="E12">
        <f t="shared" si="2"/>
        <v>-5.8361299999999972</v>
      </c>
      <c r="F12">
        <f t="shared" si="3"/>
        <v>-0.52235299999999896</v>
      </c>
      <c r="G12">
        <f t="shared" si="4"/>
        <v>3.0485200138899926</v>
      </c>
    </row>
    <row r="13" spans="1:12" x14ac:dyDescent="0.35">
      <c r="A13" s="2">
        <v>69.98</v>
      </c>
      <c r="B13" s="2">
        <v>8.32</v>
      </c>
      <c r="C13">
        <f t="shared" si="0"/>
        <v>33.248255176899882</v>
      </c>
      <c r="D13">
        <f t="shared" si="1"/>
        <v>0.26250559660899914</v>
      </c>
      <c r="E13">
        <f t="shared" si="2"/>
        <v>-5.7661299999999898</v>
      </c>
      <c r="F13">
        <f t="shared" si="3"/>
        <v>-0.51235299999999917</v>
      </c>
      <c r="G13">
        <f t="shared" si="4"/>
        <v>2.9542940038899901</v>
      </c>
    </row>
    <row r="14" spans="1:12" x14ac:dyDescent="0.35">
      <c r="A14" s="2">
        <v>73.64</v>
      </c>
      <c r="B14" s="2">
        <v>8.33</v>
      </c>
      <c r="C14">
        <f t="shared" si="0"/>
        <v>4.4357835768999712</v>
      </c>
      <c r="D14">
        <f t="shared" si="1"/>
        <v>0.25235853660899937</v>
      </c>
      <c r="E14">
        <f t="shared" si="2"/>
        <v>-2.1061299999999932</v>
      </c>
      <c r="F14">
        <f t="shared" si="3"/>
        <v>-0.50235299999999938</v>
      </c>
      <c r="G14">
        <f t="shared" si="4"/>
        <v>1.0580207238899952</v>
      </c>
    </row>
    <row r="15" spans="1:12" x14ac:dyDescent="0.35">
      <c r="A15" s="2">
        <v>71.56</v>
      </c>
      <c r="B15" s="2">
        <v>8.18</v>
      </c>
      <c r="C15">
        <f t="shared" si="0"/>
        <v>17.523684376899929</v>
      </c>
      <c r="D15">
        <f t="shared" si="1"/>
        <v>0.42556443660899967</v>
      </c>
      <c r="E15">
        <f t="shared" si="2"/>
        <v>-4.1861299999999915</v>
      </c>
      <c r="F15">
        <f t="shared" si="3"/>
        <v>-0.65235299999999974</v>
      </c>
      <c r="G15">
        <f t="shared" si="4"/>
        <v>2.7308344638899933</v>
      </c>
    </row>
    <row r="16" spans="1:12" x14ac:dyDescent="0.35">
      <c r="A16" s="2">
        <v>72.3</v>
      </c>
      <c r="B16" s="2">
        <v>8.06</v>
      </c>
      <c r="C16">
        <f t="shared" si="0"/>
        <v>11.875811976899977</v>
      </c>
      <c r="D16">
        <f t="shared" si="1"/>
        <v>0.59652915660899841</v>
      </c>
      <c r="E16">
        <f t="shared" si="2"/>
        <v>-3.4461299999999966</v>
      </c>
      <c r="F16">
        <f t="shared" si="3"/>
        <v>-0.77235299999999896</v>
      </c>
      <c r="G16">
        <f t="shared" si="4"/>
        <v>2.6616288438899938</v>
      </c>
    </row>
    <row r="17" spans="1:7" x14ac:dyDescent="0.35">
      <c r="A17" s="2">
        <v>71.37</v>
      </c>
      <c r="B17" s="2">
        <v>7.99</v>
      </c>
      <c r="C17">
        <f t="shared" si="0"/>
        <v>19.150513776899906</v>
      </c>
      <c r="D17">
        <f t="shared" si="1"/>
        <v>0.70955857660899868</v>
      </c>
      <c r="E17">
        <f t="shared" si="2"/>
        <v>-4.3761299999999892</v>
      </c>
      <c r="F17">
        <f t="shared" si="3"/>
        <v>-0.84235299999999924</v>
      </c>
      <c r="G17">
        <f t="shared" si="4"/>
        <v>3.6862462338899875</v>
      </c>
    </row>
    <row r="18" spans="1:7" x14ac:dyDescent="0.35">
      <c r="A18" s="2">
        <v>74.569999999999993</v>
      </c>
      <c r="B18" s="2">
        <v>8.86</v>
      </c>
      <c r="C18">
        <f t="shared" si="0"/>
        <v>1.3832817769000014</v>
      </c>
      <c r="D18">
        <f t="shared" si="1"/>
        <v>7.6435660899999876E-4</v>
      </c>
      <c r="E18">
        <f t="shared" si="2"/>
        <v>-1.1761300000000006</v>
      </c>
      <c r="F18">
        <f t="shared" si="3"/>
        <v>2.7646999999999977E-2</v>
      </c>
      <c r="G18">
        <f t="shared" si="4"/>
        <v>-3.2516466109999989E-2</v>
      </c>
    </row>
    <row r="19" spans="1:7" x14ac:dyDescent="0.35">
      <c r="A19" s="2">
        <v>70.72</v>
      </c>
      <c r="B19" s="2">
        <v>7.45</v>
      </c>
      <c r="C19">
        <f t="shared" si="0"/>
        <v>25.261982776899949</v>
      </c>
      <c r="D19">
        <f t="shared" si="1"/>
        <v>1.9108998166089981</v>
      </c>
      <c r="E19">
        <f t="shared" si="2"/>
        <v>-5.0261299999999949</v>
      </c>
      <c r="F19">
        <f t="shared" si="3"/>
        <v>-1.3823529999999993</v>
      </c>
      <c r="G19">
        <f t="shared" si="4"/>
        <v>6.9478858838899891</v>
      </c>
    </row>
    <row r="20" spans="1:7" x14ac:dyDescent="0.35">
      <c r="A20" s="2">
        <v>72.05</v>
      </c>
      <c r="B20" s="2">
        <v>7.88</v>
      </c>
      <c r="C20">
        <f t="shared" si="0"/>
        <v>13.661376976899975</v>
      </c>
      <c r="D20">
        <f t="shared" si="1"/>
        <v>0.90697623660899918</v>
      </c>
      <c r="E20">
        <f t="shared" si="2"/>
        <v>-3.6961299999999966</v>
      </c>
      <c r="F20">
        <f t="shared" si="3"/>
        <v>-0.95235299999999956</v>
      </c>
      <c r="G20">
        <f t="shared" si="4"/>
        <v>3.5200204938899953</v>
      </c>
    </row>
    <row r="21" spans="1:7" x14ac:dyDescent="0.35">
      <c r="A21" s="2">
        <v>73.989999999999995</v>
      </c>
      <c r="B21" s="2">
        <v>8.4</v>
      </c>
      <c r="C21">
        <f t="shared" si="0"/>
        <v>3.0839925768999961</v>
      </c>
      <c r="D21">
        <f t="shared" si="1"/>
        <v>0.18692911660899922</v>
      </c>
      <c r="E21">
        <f t="shared" si="2"/>
        <v>-1.7561299999999989</v>
      </c>
      <c r="F21">
        <f t="shared" si="3"/>
        <v>-0.4323529999999991</v>
      </c>
      <c r="G21">
        <f t="shared" si="4"/>
        <v>0.75926807388999795</v>
      </c>
    </row>
    <row r="22" spans="1:7" x14ac:dyDescent="0.35">
      <c r="A22" s="2">
        <v>73.819999999999993</v>
      </c>
      <c r="B22" s="2">
        <v>8.5399999999999991</v>
      </c>
      <c r="C22">
        <f t="shared" si="0"/>
        <v>3.7099767769000023</v>
      </c>
      <c r="D22">
        <f t="shared" si="1"/>
        <v>8.5470276609000181E-2</v>
      </c>
      <c r="E22">
        <f t="shared" si="2"/>
        <v>-1.9261300000000006</v>
      </c>
      <c r="F22">
        <f t="shared" si="3"/>
        <v>-0.29235300000000031</v>
      </c>
      <c r="G22">
        <f t="shared" si="4"/>
        <v>0.56310988389000072</v>
      </c>
    </row>
    <row r="23" spans="1:7" x14ac:dyDescent="0.35">
      <c r="A23" s="2">
        <v>76.8</v>
      </c>
      <c r="B23" s="2">
        <v>10.19</v>
      </c>
      <c r="C23">
        <f t="shared" si="0"/>
        <v>1.1106419769000071</v>
      </c>
      <c r="D23">
        <f t="shared" si="1"/>
        <v>1.8432053766090002</v>
      </c>
      <c r="E23">
        <f t="shared" si="2"/>
        <v>1.0538700000000034</v>
      </c>
      <c r="F23">
        <f t="shared" si="3"/>
        <v>1.357647</v>
      </c>
      <c r="G23">
        <f t="shared" si="4"/>
        <v>1.4307834438900047</v>
      </c>
    </row>
    <row r="24" spans="1:7" x14ac:dyDescent="0.35">
      <c r="A24" s="2">
        <v>70.77</v>
      </c>
      <c r="B24" s="2">
        <v>8.57</v>
      </c>
      <c r="C24">
        <f t="shared" si="0"/>
        <v>24.761869776899978</v>
      </c>
      <c r="D24">
        <f t="shared" si="1"/>
        <v>6.8829096608999565E-2</v>
      </c>
      <c r="E24">
        <f t="shared" si="2"/>
        <v>-4.9761299999999977</v>
      </c>
      <c r="F24">
        <f t="shared" si="3"/>
        <v>-0.26235299999999917</v>
      </c>
      <c r="G24">
        <f t="shared" si="4"/>
        <v>1.3055026338899953</v>
      </c>
    </row>
    <row r="25" spans="1:7" x14ac:dyDescent="0.35">
      <c r="A25" s="2">
        <v>71.03</v>
      </c>
      <c r="B25" s="2">
        <v>8.4700000000000006</v>
      </c>
      <c r="C25">
        <f t="shared" si="0"/>
        <v>22.241882176899932</v>
      </c>
      <c r="D25">
        <f t="shared" si="1"/>
        <v>0.13129969660899915</v>
      </c>
      <c r="E25">
        <f t="shared" si="2"/>
        <v>-4.7161299999999926</v>
      </c>
      <c r="F25">
        <f t="shared" si="3"/>
        <v>-0.36235299999999881</v>
      </c>
      <c r="G25">
        <f t="shared" si="4"/>
        <v>1.7089038538899917</v>
      </c>
    </row>
    <row r="26" spans="1:7" x14ac:dyDescent="0.35">
      <c r="A26" s="2">
        <v>79.03</v>
      </c>
      <c r="B26" s="2">
        <v>10.79</v>
      </c>
      <c r="C26">
        <f t="shared" si="0"/>
        <v>10.783802176900048</v>
      </c>
      <c r="D26">
        <f t="shared" si="1"/>
        <v>3.8323817766089987</v>
      </c>
      <c r="E26">
        <f t="shared" si="2"/>
        <v>3.2838700000000074</v>
      </c>
      <c r="F26">
        <f t="shared" si="3"/>
        <v>1.9576469999999997</v>
      </c>
      <c r="G26">
        <f t="shared" si="4"/>
        <v>6.4286582538900134</v>
      </c>
    </row>
    <row r="27" spans="1:7" x14ac:dyDescent="0.35">
      <c r="A27" s="2">
        <v>77.69</v>
      </c>
      <c r="B27" s="2">
        <v>10.44</v>
      </c>
      <c r="C27">
        <f t="shared" si="0"/>
        <v>3.7786305769000155</v>
      </c>
      <c r="D27">
        <f t="shared" si="1"/>
        <v>2.5845288766090002</v>
      </c>
      <c r="E27">
        <f t="shared" si="2"/>
        <v>1.943870000000004</v>
      </c>
      <c r="F27">
        <f t="shared" si="3"/>
        <v>1.607647</v>
      </c>
      <c r="G27">
        <f t="shared" si="4"/>
        <v>3.1250567738900066</v>
      </c>
    </row>
    <row r="28" spans="1:7" x14ac:dyDescent="0.35">
      <c r="A28" s="2">
        <v>83.75</v>
      </c>
      <c r="B28" s="2">
        <v>11.05</v>
      </c>
      <c r="C28">
        <f t="shared" si="0"/>
        <v>64.061934976900105</v>
      </c>
      <c r="D28">
        <f t="shared" si="1"/>
        <v>4.9179582166090059</v>
      </c>
      <c r="E28">
        <f t="shared" si="2"/>
        <v>8.0038700000000063</v>
      </c>
      <c r="F28">
        <f t="shared" si="3"/>
        <v>2.2176470000000013</v>
      </c>
      <c r="G28">
        <f t="shared" si="4"/>
        <v>17.749758293890025</v>
      </c>
    </row>
    <row r="29" spans="1:7" x14ac:dyDescent="0.35">
      <c r="A29" s="2">
        <v>78.09</v>
      </c>
      <c r="B29" s="2">
        <v>10.66</v>
      </c>
      <c r="C29">
        <f t="shared" si="0"/>
        <v>5.4937265769000456</v>
      </c>
      <c r="D29">
        <f t="shared" si="1"/>
        <v>3.3402935566090024</v>
      </c>
      <c r="E29">
        <f t="shared" si="2"/>
        <v>2.3438700000000097</v>
      </c>
      <c r="F29">
        <f t="shared" si="3"/>
        <v>1.8276470000000007</v>
      </c>
      <c r="G29">
        <f t="shared" si="4"/>
        <v>4.2837669738900193</v>
      </c>
    </row>
    <row r="30" spans="1:7" x14ac:dyDescent="0.35">
      <c r="A30" s="2">
        <v>83.55</v>
      </c>
      <c r="B30" s="2">
        <v>11.9</v>
      </c>
      <c r="C30">
        <f t="shared" si="0"/>
        <v>60.900386976900052</v>
      </c>
      <c r="D30">
        <f t="shared" si="1"/>
        <v>9.4104581166090053</v>
      </c>
      <c r="E30">
        <f t="shared" si="2"/>
        <v>7.8038700000000034</v>
      </c>
      <c r="F30">
        <f t="shared" si="3"/>
        <v>3.0676470000000009</v>
      </c>
      <c r="G30">
        <f t="shared" si="4"/>
        <v>23.939518393890019</v>
      </c>
    </row>
    <row r="31" spans="1:7" x14ac:dyDescent="0.35">
      <c r="A31" s="2">
        <v>83.05</v>
      </c>
      <c r="B31" s="2">
        <v>11.58</v>
      </c>
      <c r="C31">
        <f t="shared" si="0"/>
        <v>53.346516976900048</v>
      </c>
      <c r="D31">
        <f t="shared" si="1"/>
        <v>7.5495640366090031</v>
      </c>
      <c r="E31">
        <f t="shared" si="2"/>
        <v>7.3038700000000034</v>
      </c>
      <c r="F31">
        <f t="shared" si="3"/>
        <v>2.7476470000000006</v>
      </c>
      <c r="G31">
        <f t="shared" si="4"/>
        <v>20.068456493890015</v>
      </c>
    </row>
    <row r="32" spans="1:7" x14ac:dyDescent="0.35">
      <c r="A32" s="2">
        <v>80.3</v>
      </c>
      <c r="B32" s="2">
        <v>11.47</v>
      </c>
      <c r="C32">
        <f t="shared" si="0"/>
        <v>20.737731976900029</v>
      </c>
      <c r="D32">
        <f t="shared" si="1"/>
        <v>6.9571816966090063</v>
      </c>
      <c r="E32">
        <f t="shared" si="2"/>
        <v>4.5538700000000034</v>
      </c>
      <c r="F32">
        <f t="shared" si="3"/>
        <v>2.6376470000000012</v>
      </c>
      <c r="G32">
        <f t="shared" si="4"/>
        <v>12.011501543890015</v>
      </c>
    </row>
    <row r="33" spans="1:7" x14ac:dyDescent="0.35">
      <c r="A33" s="2">
        <v>76.03</v>
      </c>
      <c r="B33" s="2">
        <v>9.86</v>
      </c>
      <c r="C33">
        <f t="shared" si="0"/>
        <v>8.0582176900004202E-2</v>
      </c>
      <c r="D33">
        <f t="shared" si="1"/>
        <v>1.056058356609</v>
      </c>
      <c r="E33">
        <f t="shared" si="2"/>
        <v>0.28387000000000739</v>
      </c>
      <c r="F33">
        <f t="shared" si="3"/>
        <v>1.027647</v>
      </c>
      <c r="G33">
        <f t="shared" si="4"/>
        <v>0.2917181538900076</v>
      </c>
    </row>
    <row r="34" spans="1:7" x14ac:dyDescent="0.35">
      <c r="A34" s="2">
        <v>75.010000000000005</v>
      </c>
      <c r="B34" s="2">
        <v>9.15</v>
      </c>
      <c r="C34">
        <f t="shared" si="0"/>
        <v>0.54188737689998323</v>
      </c>
      <c r="D34">
        <f t="shared" si="1"/>
        <v>0.10089961660900057</v>
      </c>
      <c r="E34">
        <f t="shared" si="2"/>
        <v>-0.73612999999998863</v>
      </c>
      <c r="F34">
        <f t="shared" si="3"/>
        <v>0.3176470000000009</v>
      </c>
      <c r="G34">
        <f t="shared" si="4"/>
        <v>-0.23382948610999704</v>
      </c>
    </row>
    <row r="35" spans="1:7" x14ac:dyDescent="0.35">
      <c r="A35" s="2">
        <v>72.55</v>
      </c>
      <c r="B35" s="2">
        <v>7.4</v>
      </c>
      <c r="C35">
        <f t="shared" si="0"/>
        <v>10.215246976899978</v>
      </c>
      <c r="D35">
        <f t="shared" si="1"/>
        <v>2.0516351166089972</v>
      </c>
      <c r="E35">
        <f t="shared" si="2"/>
        <v>-3.1961299999999966</v>
      </c>
      <c r="F35">
        <f t="shared" si="3"/>
        <v>-1.4323529999999991</v>
      </c>
      <c r="G35">
        <f t="shared" si="4"/>
        <v>4.5779863938899918</v>
      </c>
    </row>
    <row r="36" spans="1:7" x14ac:dyDescent="0.35">
      <c r="A36" s="2">
        <v>74.52</v>
      </c>
      <c r="B36" s="2">
        <v>7.91</v>
      </c>
      <c r="C36">
        <f t="shared" si="0"/>
        <v>1.5033947768999945</v>
      </c>
      <c r="D36">
        <f t="shared" si="1"/>
        <v>0.85073505660899873</v>
      </c>
      <c r="E36">
        <f t="shared" si="2"/>
        <v>-1.2261299999999977</v>
      </c>
      <c r="F36">
        <f t="shared" si="3"/>
        <v>-0.92235299999999931</v>
      </c>
      <c r="G36">
        <f t="shared" si="4"/>
        <v>1.1309246838899971</v>
      </c>
    </row>
    <row r="37" spans="1:7" x14ac:dyDescent="0.35">
      <c r="A37" s="2">
        <v>70.97</v>
      </c>
      <c r="B37" s="2">
        <v>7.36</v>
      </c>
      <c r="C37">
        <f t="shared" si="0"/>
        <v>22.811417776899951</v>
      </c>
      <c r="D37">
        <f t="shared" si="1"/>
        <v>2.1678233566089973</v>
      </c>
      <c r="E37">
        <f t="shared" si="2"/>
        <v>-4.7761299999999949</v>
      </c>
      <c r="F37">
        <f t="shared" si="3"/>
        <v>-1.4723529999999991</v>
      </c>
      <c r="G37">
        <f t="shared" si="4"/>
        <v>7.0321493338899881</v>
      </c>
    </row>
    <row r="38" spans="1:7" x14ac:dyDescent="0.35">
      <c r="A38" s="2">
        <v>69.62</v>
      </c>
      <c r="B38" s="2">
        <v>6.87</v>
      </c>
      <c r="C38">
        <f t="shared" si="0"/>
        <v>37.529468776899868</v>
      </c>
      <c r="D38">
        <f t="shared" si="1"/>
        <v>3.8508292966089974</v>
      </c>
      <c r="E38">
        <f t="shared" si="2"/>
        <v>-6.1261299999999892</v>
      </c>
      <c r="F38">
        <f t="shared" si="3"/>
        <v>-1.9623529999999993</v>
      </c>
      <c r="G38">
        <f t="shared" si="4"/>
        <v>12.021629583889975</v>
      </c>
    </row>
    <row r="39" spans="1:7" x14ac:dyDescent="0.35">
      <c r="A39" s="2">
        <v>72.48</v>
      </c>
      <c r="B39" s="2">
        <v>7.87</v>
      </c>
      <c r="C39">
        <f t="shared" si="0"/>
        <v>10.667605176899933</v>
      </c>
      <c r="D39">
        <f t="shared" si="1"/>
        <v>0.92612329660899873</v>
      </c>
      <c r="E39">
        <f t="shared" si="2"/>
        <v>-3.2661299999999898</v>
      </c>
      <c r="F39">
        <f t="shared" si="3"/>
        <v>-0.96235299999999935</v>
      </c>
      <c r="G39">
        <f t="shared" si="4"/>
        <v>3.1431700038899879</v>
      </c>
    </row>
    <row r="40" spans="1:7" x14ac:dyDescent="0.35">
      <c r="A40" s="2">
        <v>75.16</v>
      </c>
      <c r="B40" s="2">
        <v>8.65</v>
      </c>
      <c r="C40">
        <f t="shared" si="0"/>
        <v>0.34354837689999668</v>
      </c>
      <c r="D40">
        <f t="shared" si="1"/>
        <v>3.3252616608999669E-2</v>
      </c>
      <c r="E40">
        <f t="shared" si="2"/>
        <v>-0.58612999999999715</v>
      </c>
      <c r="F40">
        <f t="shared" si="3"/>
        <v>-0.1823529999999991</v>
      </c>
      <c r="G40">
        <f t="shared" si="4"/>
        <v>0.10688256388999895</v>
      </c>
    </row>
    <row r="41" spans="1:7" x14ac:dyDescent="0.35">
      <c r="A41" s="2">
        <v>70.63</v>
      </c>
      <c r="B41" s="2">
        <v>6.9</v>
      </c>
      <c r="C41">
        <f t="shared" si="0"/>
        <v>26.174786176899982</v>
      </c>
      <c r="D41">
        <f t="shared" si="1"/>
        <v>3.7339881166089963</v>
      </c>
      <c r="E41">
        <f t="shared" si="2"/>
        <v>-5.1161299999999983</v>
      </c>
      <c r="F41">
        <f t="shared" si="3"/>
        <v>-1.9323529999999991</v>
      </c>
      <c r="G41">
        <f t="shared" si="4"/>
        <v>9.886169153889993</v>
      </c>
    </row>
    <row r="42" spans="1:7" x14ac:dyDescent="0.35">
      <c r="A42" s="2">
        <v>72.099999999999994</v>
      </c>
      <c r="B42" s="2">
        <v>7.83</v>
      </c>
      <c r="C42">
        <f t="shared" si="0"/>
        <v>13.294263976899996</v>
      </c>
      <c r="D42">
        <f t="shared" si="1"/>
        <v>1.0047115366089987</v>
      </c>
      <c r="E42">
        <f t="shared" si="2"/>
        <v>-3.6461299999999994</v>
      </c>
      <c r="F42">
        <f t="shared" si="3"/>
        <v>-1.0023529999999994</v>
      </c>
      <c r="G42">
        <f t="shared" si="4"/>
        <v>3.6547093438899974</v>
      </c>
    </row>
    <row r="43" spans="1:7" x14ac:dyDescent="0.35">
      <c r="A43" s="2">
        <v>75.959999999999994</v>
      </c>
      <c r="B43" s="2">
        <v>8.17</v>
      </c>
      <c r="C43">
        <f t="shared" si="0"/>
        <v>4.5740376900000004E-2</v>
      </c>
      <c r="D43">
        <f t="shared" si="1"/>
        <v>0.43871149660899939</v>
      </c>
      <c r="E43">
        <f t="shared" si="2"/>
        <v>0.21387</v>
      </c>
      <c r="F43">
        <f t="shared" si="3"/>
        <v>-0.66235299999999953</v>
      </c>
      <c r="G43">
        <f t="shared" si="4"/>
        <v>-0.1416574361099999</v>
      </c>
    </row>
    <row r="44" spans="1:7" x14ac:dyDescent="0.35">
      <c r="A44" s="2">
        <v>78.16</v>
      </c>
      <c r="B44" s="2">
        <v>9.2899999999999991</v>
      </c>
      <c r="C44">
        <f t="shared" si="0"/>
        <v>5.8267683769000138</v>
      </c>
      <c r="D44">
        <f t="shared" si="1"/>
        <v>0.20944077660899971</v>
      </c>
      <c r="E44">
        <f t="shared" si="2"/>
        <v>2.4138700000000028</v>
      </c>
      <c r="F44">
        <f t="shared" si="3"/>
        <v>0.45764699999999969</v>
      </c>
      <c r="G44">
        <f t="shared" si="4"/>
        <v>1.1047003638900006</v>
      </c>
    </row>
    <row r="45" spans="1:7" x14ac:dyDescent="0.35">
      <c r="A45" s="2">
        <v>79.3</v>
      </c>
      <c r="B45" s="2">
        <v>10.01</v>
      </c>
      <c r="C45">
        <f t="shared" si="0"/>
        <v>12.629991976900024</v>
      </c>
      <c r="D45">
        <f t="shared" si="1"/>
        <v>1.3868524566090008</v>
      </c>
      <c r="E45">
        <f t="shared" si="2"/>
        <v>3.5538700000000034</v>
      </c>
      <c r="F45">
        <f t="shared" si="3"/>
        <v>1.1776470000000003</v>
      </c>
      <c r="G45">
        <f t="shared" si="4"/>
        <v>4.1852043438900051</v>
      </c>
    </row>
    <row r="46" spans="1:7" x14ac:dyDescent="0.35">
      <c r="A46" s="2">
        <v>72.540000000000006</v>
      </c>
      <c r="B46" s="2">
        <v>7.68</v>
      </c>
      <c r="C46">
        <f t="shared" si="0"/>
        <v>10.279269576899919</v>
      </c>
      <c r="D46">
        <f t="shared" si="1"/>
        <v>1.3279174366089994</v>
      </c>
      <c r="E46">
        <f t="shared" si="2"/>
        <v>-3.2061299999999875</v>
      </c>
      <c r="F46">
        <f t="shared" si="3"/>
        <v>-1.1523529999999997</v>
      </c>
      <c r="G46">
        <f t="shared" si="4"/>
        <v>3.694593523889985</v>
      </c>
    </row>
    <row r="47" spans="1:7" x14ac:dyDescent="0.35">
      <c r="A47" s="2">
        <v>78.11</v>
      </c>
      <c r="B47" s="2">
        <v>9.26</v>
      </c>
      <c r="C47">
        <f t="shared" si="0"/>
        <v>5.5878813769000271</v>
      </c>
      <c r="D47">
        <f t="shared" si="1"/>
        <v>0.18288195660900028</v>
      </c>
      <c r="E47">
        <f t="shared" si="2"/>
        <v>2.3638700000000057</v>
      </c>
      <c r="F47">
        <f t="shared" si="3"/>
        <v>0.42764700000000033</v>
      </c>
      <c r="G47">
        <f t="shared" si="4"/>
        <v>1.0109019138900033</v>
      </c>
    </row>
    <row r="48" spans="1:7" x14ac:dyDescent="0.35">
      <c r="A48" s="2">
        <v>75.53</v>
      </c>
      <c r="B48" s="2">
        <v>7.88</v>
      </c>
      <c r="C48">
        <f t="shared" si="0"/>
        <v>4.67121768999968E-2</v>
      </c>
      <c r="D48">
        <f t="shared" si="1"/>
        <v>0.90697623660899918</v>
      </c>
      <c r="E48">
        <f t="shared" si="2"/>
        <v>-0.21612999999999261</v>
      </c>
      <c r="F48">
        <f t="shared" si="3"/>
        <v>-0.95235299999999956</v>
      </c>
      <c r="G48">
        <f t="shared" si="4"/>
        <v>0.20583205388999287</v>
      </c>
    </row>
    <row r="49" spans="1:7" x14ac:dyDescent="0.35">
      <c r="A49" s="2">
        <v>72.02</v>
      </c>
      <c r="B49" s="2">
        <v>7.29</v>
      </c>
      <c r="C49">
        <f t="shared" si="0"/>
        <v>13.884044776899984</v>
      </c>
      <c r="D49">
        <f t="shared" si="1"/>
        <v>2.3788527766089982</v>
      </c>
      <c r="E49">
        <f t="shared" si="2"/>
        <v>-3.7261299999999977</v>
      </c>
      <c r="F49">
        <f t="shared" si="3"/>
        <v>-1.5423529999999994</v>
      </c>
      <c r="G49">
        <f t="shared" si="4"/>
        <v>5.7470077838899947</v>
      </c>
    </row>
    <row r="50" spans="1:7" x14ac:dyDescent="0.35">
      <c r="A50" s="2">
        <v>71.42</v>
      </c>
      <c r="B50" s="2">
        <v>7.26</v>
      </c>
      <c r="C50">
        <f t="shared" si="0"/>
        <v>18.71540077689993</v>
      </c>
      <c r="D50">
        <f t="shared" si="1"/>
        <v>2.4722939566089988</v>
      </c>
      <c r="E50">
        <f t="shared" si="2"/>
        <v>-4.326129999999992</v>
      </c>
      <c r="F50">
        <f t="shared" si="3"/>
        <v>-1.5723529999999997</v>
      </c>
      <c r="G50">
        <f t="shared" si="4"/>
        <v>6.8022034838899863</v>
      </c>
    </row>
    <row r="51" spans="1:7" x14ac:dyDescent="0.35">
      <c r="A51" s="2">
        <v>72.53</v>
      </c>
      <c r="B51" s="2">
        <v>7.73</v>
      </c>
      <c r="C51">
        <f t="shared" si="0"/>
        <v>10.343492176899952</v>
      </c>
      <c r="D51">
        <f t="shared" si="1"/>
        <v>1.2151821366089979</v>
      </c>
      <c r="E51">
        <f t="shared" si="2"/>
        <v>-3.2161299999999926</v>
      </c>
      <c r="F51">
        <f t="shared" si="3"/>
        <v>-1.102352999999999</v>
      </c>
      <c r="G51">
        <f t="shared" si="4"/>
        <v>3.5453105538899887</v>
      </c>
    </row>
    <row r="52" spans="1:7" x14ac:dyDescent="0.35">
      <c r="A52" s="2">
        <v>74.099999999999994</v>
      </c>
      <c r="B52" s="2">
        <v>7.82</v>
      </c>
      <c r="C52">
        <f t="shared" si="0"/>
        <v>2.7097439768999982</v>
      </c>
      <c r="D52">
        <f t="shared" si="1"/>
        <v>1.0248585966089983</v>
      </c>
      <c r="E52">
        <f t="shared" si="2"/>
        <v>-1.6461299999999994</v>
      </c>
      <c r="F52">
        <f t="shared" si="3"/>
        <v>-1.0123529999999992</v>
      </c>
      <c r="G52">
        <f t="shared" si="4"/>
        <v>1.6664646438899982</v>
      </c>
    </row>
    <row r="53" spans="1:7" x14ac:dyDescent="0.35">
      <c r="A53" s="2">
        <v>77.209999999999994</v>
      </c>
      <c r="B53" s="2">
        <v>9.35</v>
      </c>
      <c r="C53">
        <f t="shared" si="0"/>
        <v>2.1429153769</v>
      </c>
      <c r="D53">
        <f t="shared" si="1"/>
        <v>0.26795841660900022</v>
      </c>
      <c r="E53">
        <f t="shared" si="2"/>
        <v>1.46387</v>
      </c>
      <c r="F53">
        <f t="shared" si="3"/>
        <v>0.51764700000000019</v>
      </c>
      <c r="G53">
        <f t="shared" si="4"/>
        <v>0.75776791389000031</v>
      </c>
    </row>
    <row r="54" spans="1:7" x14ac:dyDescent="0.35">
      <c r="A54" s="2">
        <v>74.319999999999993</v>
      </c>
      <c r="B54" s="2">
        <v>8.27</v>
      </c>
      <c r="C54">
        <f t="shared" si="0"/>
        <v>2.0338467769000017</v>
      </c>
      <c r="D54">
        <f t="shared" si="1"/>
        <v>0.31624089660899984</v>
      </c>
      <c r="E54">
        <f t="shared" si="2"/>
        <v>-1.4261300000000006</v>
      </c>
      <c r="F54">
        <f t="shared" si="3"/>
        <v>-0.56235299999999988</v>
      </c>
      <c r="G54">
        <f t="shared" si="4"/>
        <v>0.8019884838900001</v>
      </c>
    </row>
    <row r="55" spans="1:7" x14ac:dyDescent="0.35">
      <c r="A55" s="2">
        <v>74.569999999999993</v>
      </c>
      <c r="B55" s="2">
        <v>8.2799999999999994</v>
      </c>
      <c r="C55">
        <f t="shared" si="0"/>
        <v>1.3832817769000014</v>
      </c>
      <c r="D55">
        <f t="shared" si="1"/>
        <v>0.30509383660900008</v>
      </c>
      <c r="E55">
        <f t="shared" si="2"/>
        <v>-1.1761300000000006</v>
      </c>
      <c r="F55">
        <f t="shared" si="3"/>
        <v>-0.55235300000000009</v>
      </c>
      <c r="G55">
        <f t="shared" si="4"/>
        <v>0.64963893389000038</v>
      </c>
    </row>
    <row r="56" spans="1:7" x14ac:dyDescent="0.35">
      <c r="A56" s="2">
        <v>75.67</v>
      </c>
      <c r="B56" s="2">
        <v>8.16</v>
      </c>
      <c r="C56">
        <f t="shared" si="0"/>
        <v>5.7957768999987872E-3</v>
      </c>
      <c r="D56">
        <f t="shared" si="1"/>
        <v>0.45205855660899907</v>
      </c>
      <c r="E56">
        <f t="shared" si="2"/>
        <v>-7.6129999999992037E-2</v>
      </c>
      <c r="F56">
        <f t="shared" si="3"/>
        <v>-0.67235299999999931</v>
      </c>
      <c r="G56">
        <f t="shared" si="4"/>
        <v>5.1186233889994597E-2</v>
      </c>
    </row>
    <row r="57" spans="1:7" x14ac:dyDescent="0.35">
      <c r="A57" s="2">
        <v>71.86</v>
      </c>
      <c r="B57" s="2">
        <v>7.53</v>
      </c>
      <c r="C57">
        <f t="shared" si="0"/>
        <v>15.102006376899956</v>
      </c>
      <c r="D57">
        <f t="shared" si="1"/>
        <v>1.6961233366089978</v>
      </c>
      <c r="E57">
        <f t="shared" si="2"/>
        <v>-3.8861299999999943</v>
      </c>
      <c r="F57">
        <f t="shared" si="3"/>
        <v>-1.3023529999999992</v>
      </c>
      <c r="G57">
        <f t="shared" si="4"/>
        <v>5.0611130638899899</v>
      </c>
    </row>
    <row r="58" spans="1:7" x14ac:dyDescent="0.35">
      <c r="A58" s="2">
        <v>74.34</v>
      </c>
      <c r="B58" s="2">
        <v>7.74</v>
      </c>
      <c r="C58">
        <f t="shared" si="0"/>
        <v>1.9772015768999729</v>
      </c>
      <c r="D58">
        <f t="shared" si="1"/>
        <v>1.1932350766089983</v>
      </c>
      <c r="E58">
        <f t="shared" si="2"/>
        <v>-1.4061299999999903</v>
      </c>
      <c r="F58">
        <f t="shared" si="3"/>
        <v>-1.0923529999999992</v>
      </c>
      <c r="G58">
        <f t="shared" si="4"/>
        <v>1.5359903238899884</v>
      </c>
    </row>
    <row r="59" spans="1:7" x14ac:dyDescent="0.35">
      <c r="A59" s="2">
        <v>70.73</v>
      </c>
      <c r="B59" s="2">
        <v>7.08</v>
      </c>
      <c r="C59">
        <f t="shared" si="0"/>
        <v>25.161560176899897</v>
      </c>
      <c r="D59">
        <f t="shared" si="1"/>
        <v>3.070741036608998</v>
      </c>
      <c r="E59">
        <f t="shared" si="2"/>
        <v>-5.0161299999999898</v>
      </c>
      <c r="F59">
        <f t="shared" si="3"/>
        <v>-1.7523529999999994</v>
      </c>
      <c r="G59">
        <f t="shared" si="4"/>
        <v>8.7900304538899796</v>
      </c>
    </row>
    <row r="60" spans="1:7" x14ac:dyDescent="0.35">
      <c r="A60" s="2">
        <v>71.95</v>
      </c>
      <c r="B60" s="2">
        <v>7.48</v>
      </c>
      <c r="C60">
        <f t="shared" si="0"/>
        <v>14.410602976899931</v>
      </c>
      <c r="D60">
        <f t="shared" si="1"/>
        <v>1.8288586366089974</v>
      </c>
      <c r="E60">
        <f t="shared" si="2"/>
        <v>-3.7961299999999909</v>
      </c>
      <c r="F60">
        <f t="shared" si="3"/>
        <v>-1.352352999999999</v>
      </c>
      <c r="G60">
        <f t="shared" si="4"/>
        <v>5.1337077938899842</v>
      </c>
    </row>
    <row r="61" spans="1:7" x14ac:dyDescent="0.35">
      <c r="A61" s="2">
        <v>68.650000000000006</v>
      </c>
      <c r="B61" s="2">
        <v>6.56</v>
      </c>
      <c r="C61">
        <f t="shared" si="0"/>
        <v>50.355060976899829</v>
      </c>
      <c r="D61">
        <f t="shared" si="1"/>
        <v>5.1635881566089994</v>
      </c>
      <c r="E61">
        <f t="shared" si="2"/>
        <v>-7.0961299999999881</v>
      </c>
      <c r="F61">
        <f t="shared" si="3"/>
        <v>-2.2723529999999998</v>
      </c>
      <c r="G61">
        <f t="shared" si="4"/>
        <v>16.12491229388997</v>
      </c>
    </row>
    <row r="62" spans="1:7" x14ac:dyDescent="0.35">
      <c r="A62" s="2">
        <v>71.7</v>
      </c>
      <c r="B62" s="2">
        <v>7.36</v>
      </c>
      <c r="C62">
        <f t="shared" si="0"/>
        <v>16.371167976899926</v>
      </c>
      <c r="D62">
        <f t="shared" si="1"/>
        <v>2.1678233566089973</v>
      </c>
      <c r="E62">
        <f t="shared" si="2"/>
        <v>-4.0461299999999909</v>
      </c>
      <c r="F62">
        <f t="shared" si="3"/>
        <v>-1.4723529999999991</v>
      </c>
      <c r="G62">
        <f t="shared" si="4"/>
        <v>5.957331643889983</v>
      </c>
    </row>
    <row r="63" spans="1:7" x14ac:dyDescent="0.35">
      <c r="A63" s="2">
        <v>70.180000000000007</v>
      </c>
      <c r="B63" s="2">
        <v>6.41</v>
      </c>
      <c r="C63">
        <f t="shared" si="0"/>
        <v>30.981803176899856</v>
      </c>
      <c r="D63">
        <f t="shared" si="1"/>
        <v>5.8677940566089966</v>
      </c>
      <c r="E63">
        <f t="shared" si="2"/>
        <v>-5.5661299999999869</v>
      </c>
      <c r="F63">
        <f t="shared" si="3"/>
        <v>-2.4223529999999993</v>
      </c>
      <c r="G63">
        <f t="shared" si="4"/>
        <v>13.483131703889965</v>
      </c>
    </row>
    <row r="64" spans="1:7" x14ac:dyDescent="0.35">
      <c r="A64" s="2">
        <v>82.15</v>
      </c>
      <c r="B64" s="2">
        <v>11.43</v>
      </c>
      <c r="C64">
        <f t="shared" si="0"/>
        <v>41.009550976900151</v>
      </c>
      <c r="D64">
        <f t="shared" si="1"/>
        <v>6.7477699366090009</v>
      </c>
      <c r="E64">
        <f t="shared" si="2"/>
        <v>6.4038700000000119</v>
      </c>
      <c r="F64">
        <f t="shared" si="3"/>
        <v>2.5976470000000003</v>
      </c>
      <c r="G64">
        <f t="shared" si="4"/>
        <v>16.634993693890031</v>
      </c>
    </row>
    <row r="65" spans="1:7" x14ac:dyDescent="0.35">
      <c r="A65" s="2">
        <v>84.41</v>
      </c>
      <c r="B65" s="2">
        <v>11.25</v>
      </c>
      <c r="C65">
        <f t="shared" si="0"/>
        <v>75.062643376900056</v>
      </c>
      <c r="D65">
        <f t="shared" si="1"/>
        <v>5.8450170166090025</v>
      </c>
      <c r="E65">
        <f t="shared" si="2"/>
        <v>8.6638700000000028</v>
      </c>
      <c r="F65">
        <f t="shared" si="3"/>
        <v>2.4176470000000005</v>
      </c>
      <c r="G65">
        <f t="shared" si="4"/>
        <v>20.94617931389001</v>
      </c>
    </row>
    <row r="66" spans="1:7" x14ac:dyDescent="0.35">
      <c r="A66" s="2">
        <v>85.72</v>
      </c>
      <c r="B66" s="2">
        <v>11.48</v>
      </c>
      <c r="C66">
        <f t="shared" si="0"/>
        <v>99.478082776900095</v>
      </c>
      <c r="D66">
        <f t="shared" si="1"/>
        <v>7.0100346366090047</v>
      </c>
      <c r="E66">
        <f t="shared" si="2"/>
        <v>9.9738700000000051</v>
      </c>
      <c r="F66">
        <f t="shared" si="3"/>
        <v>2.647647000000001</v>
      </c>
      <c r="G66">
        <f t="shared" si="4"/>
        <v>26.407286983890025</v>
      </c>
    </row>
    <row r="67" spans="1:7" x14ac:dyDescent="0.35">
      <c r="A67" s="2">
        <v>85.24</v>
      </c>
      <c r="B67" s="2">
        <v>11.05</v>
      </c>
      <c r="C67">
        <f t="shared" ref="C67:C120" si="5">(A67-75.74613)^2</f>
        <v>90.13356757690002</v>
      </c>
      <c r="D67">
        <f t="shared" ref="D67:D120" si="6">(B67-8.832353)^2</f>
        <v>4.9179582166090059</v>
      </c>
      <c r="E67">
        <f t="shared" ref="E67:E120" si="7">(A67-75.74613)</f>
        <v>9.4938700000000011</v>
      </c>
      <c r="F67">
        <f t="shared" ref="F67:F120" si="8">(B67-8.832353)</f>
        <v>2.2176470000000013</v>
      </c>
      <c r="G67">
        <f t="shared" ref="G67:G120" si="9">E67*F67</f>
        <v>21.054052323890016</v>
      </c>
    </row>
    <row r="68" spans="1:7" x14ac:dyDescent="0.35">
      <c r="A68" s="2">
        <v>77.209999999999994</v>
      </c>
      <c r="B68" s="2">
        <v>9.34</v>
      </c>
      <c r="C68">
        <f t="shared" si="5"/>
        <v>2.1429153769</v>
      </c>
      <c r="D68">
        <f t="shared" si="6"/>
        <v>0.25770547660900039</v>
      </c>
      <c r="E68">
        <f t="shared" si="7"/>
        <v>1.46387</v>
      </c>
      <c r="F68">
        <f t="shared" si="8"/>
        <v>0.5076470000000004</v>
      </c>
      <c r="G68">
        <f t="shared" si="9"/>
        <v>0.74312921389000064</v>
      </c>
    </row>
    <row r="69" spans="1:7" x14ac:dyDescent="0.35">
      <c r="A69" s="2">
        <v>77.5</v>
      </c>
      <c r="B69" s="2">
        <v>9.2799999999999994</v>
      </c>
      <c r="C69">
        <f t="shared" si="5"/>
        <v>3.0760599769000221</v>
      </c>
      <c r="D69">
        <f t="shared" si="6"/>
        <v>0.20038783660899992</v>
      </c>
      <c r="E69">
        <f t="shared" si="7"/>
        <v>1.7538700000000063</v>
      </c>
      <c r="F69">
        <f t="shared" si="8"/>
        <v>0.44764699999999991</v>
      </c>
      <c r="G69">
        <f t="shared" si="9"/>
        <v>0.78511464389000263</v>
      </c>
    </row>
    <row r="70" spans="1:7" x14ac:dyDescent="0.35">
      <c r="A70" s="2">
        <v>76.180000000000007</v>
      </c>
      <c r="B70" s="2">
        <v>9.1999999999999993</v>
      </c>
      <c r="C70">
        <f t="shared" si="5"/>
        <v>0.18824317690001136</v>
      </c>
      <c r="D70">
        <f t="shared" si="6"/>
        <v>0.13516431660899988</v>
      </c>
      <c r="E70">
        <f t="shared" si="7"/>
        <v>0.43387000000001308</v>
      </c>
      <c r="F70">
        <f t="shared" si="8"/>
        <v>0.36764699999999984</v>
      </c>
      <c r="G70">
        <f t="shared" si="9"/>
        <v>0.15951100389000475</v>
      </c>
    </row>
    <row r="71" spans="1:7" x14ac:dyDescent="0.35">
      <c r="A71" s="2">
        <v>82.05</v>
      </c>
      <c r="B71" s="2">
        <v>9.81</v>
      </c>
      <c r="C71">
        <f t="shared" si="5"/>
        <v>39.738776976900041</v>
      </c>
      <c r="D71">
        <f t="shared" si="6"/>
        <v>0.95579365660900206</v>
      </c>
      <c r="E71">
        <f t="shared" si="7"/>
        <v>6.3038700000000034</v>
      </c>
      <c r="F71">
        <f t="shared" si="8"/>
        <v>0.97764700000000104</v>
      </c>
      <c r="G71">
        <f t="shared" si="9"/>
        <v>6.1629595938900099</v>
      </c>
    </row>
    <row r="72" spans="1:7" x14ac:dyDescent="0.35">
      <c r="A72" s="2">
        <v>72.14</v>
      </c>
      <c r="B72" s="2">
        <v>7.35</v>
      </c>
      <c r="C72">
        <f t="shared" si="5"/>
        <v>13.004173576899952</v>
      </c>
      <c r="D72">
        <f t="shared" si="6"/>
        <v>2.1973704166089996</v>
      </c>
      <c r="E72">
        <f t="shared" si="7"/>
        <v>-3.6061299999999932</v>
      </c>
      <c r="F72">
        <f t="shared" si="8"/>
        <v>-1.4823529999999998</v>
      </c>
      <c r="G72">
        <f t="shared" si="9"/>
        <v>5.3455576238899889</v>
      </c>
    </row>
    <row r="73" spans="1:7" x14ac:dyDescent="0.35">
      <c r="A73" s="2">
        <v>85.71</v>
      </c>
      <c r="B73" s="2">
        <v>11.33</v>
      </c>
      <c r="C73">
        <f t="shared" si="5"/>
        <v>99.278705376900007</v>
      </c>
      <c r="D73">
        <f t="shared" si="6"/>
        <v>6.2382405366090028</v>
      </c>
      <c r="E73">
        <f t="shared" si="7"/>
        <v>9.96387</v>
      </c>
      <c r="F73">
        <f t="shared" si="8"/>
        <v>2.4976470000000006</v>
      </c>
      <c r="G73">
        <f t="shared" si="9"/>
        <v>24.886230013890007</v>
      </c>
    </row>
    <row r="74" spans="1:7" x14ac:dyDescent="0.35">
      <c r="A74" s="2">
        <v>89.1</v>
      </c>
      <c r="B74" s="2">
        <v>12.12</v>
      </c>
      <c r="C74">
        <f t="shared" si="5"/>
        <v>178.32584397690002</v>
      </c>
      <c r="D74">
        <f t="shared" si="6"/>
        <v>10.808622796608999</v>
      </c>
      <c r="E74">
        <f t="shared" si="7"/>
        <v>13.353870000000001</v>
      </c>
      <c r="F74">
        <f t="shared" si="8"/>
        <v>3.2876469999999998</v>
      </c>
      <c r="G74">
        <f t="shared" si="9"/>
        <v>43.90281064389</v>
      </c>
    </row>
    <row r="75" spans="1:7" x14ac:dyDescent="0.35">
      <c r="A75" s="2">
        <v>71.489999999999995</v>
      </c>
      <c r="B75" s="2">
        <v>7.9</v>
      </c>
      <c r="C75">
        <f t="shared" si="5"/>
        <v>18.114642576899989</v>
      </c>
      <c r="D75">
        <f t="shared" si="6"/>
        <v>0.86928211660899835</v>
      </c>
      <c r="E75">
        <f t="shared" si="7"/>
        <v>-4.2561299999999989</v>
      </c>
      <c r="F75">
        <f t="shared" si="8"/>
        <v>-0.9323529999999991</v>
      </c>
      <c r="G75">
        <f t="shared" si="9"/>
        <v>3.9682155738899949</v>
      </c>
    </row>
    <row r="76" spans="1:7" x14ac:dyDescent="0.35">
      <c r="A76" s="2">
        <v>73.7</v>
      </c>
      <c r="B76" s="2">
        <v>7.8</v>
      </c>
      <c r="C76">
        <f t="shared" si="5"/>
        <v>4.1866479768999625</v>
      </c>
      <c r="D76">
        <f t="shared" si="6"/>
        <v>1.0657527166089993</v>
      </c>
      <c r="E76">
        <f t="shared" si="7"/>
        <v>-2.0461299999999909</v>
      </c>
      <c r="F76">
        <f t="shared" si="8"/>
        <v>-1.0323529999999996</v>
      </c>
      <c r="G76">
        <f t="shared" si="9"/>
        <v>2.1123284438899899</v>
      </c>
    </row>
    <row r="77" spans="1:7" x14ac:dyDescent="0.35">
      <c r="A77" s="2">
        <v>72.47</v>
      </c>
      <c r="B77" s="2">
        <v>7.92</v>
      </c>
      <c r="C77">
        <f t="shared" si="5"/>
        <v>10.733027776899966</v>
      </c>
      <c r="D77">
        <f t="shared" si="6"/>
        <v>0.83238799660899909</v>
      </c>
      <c r="E77">
        <f t="shared" si="7"/>
        <v>-3.2761299999999949</v>
      </c>
      <c r="F77">
        <f t="shared" si="8"/>
        <v>-0.91235299999999953</v>
      </c>
      <c r="G77">
        <f t="shared" si="9"/>
        <v>2.9889870338899938</v>
      </c>
    </row>
    <row r="78" spans="1:7" x14ac:dyDescent="0.35">
      <c r="A78" s="2">
        <v>75.13</v>
      </c>
      <c r="B78" s="2">
        <v>8.68</v>
      </c>
      <c r="C78">
        <f t="shared" si="5"/>
        <v>0.37961617689999788</v>
      </c>
      <c r="D78">
        <f t="shared" si="6"/>
        <v>2.3211436608999922E-2</v>
      </c>
      <c r="E78">
        <f t="shared" si="7"/>
        <v>-0.61612999999999829</v>
      </c>
      <c r="F78">
        <f t="shared" si="8"/>
        <v>-0.15235299999999974</v>
      </c>
      <c r="G78">
        <f t="shared" si="9"/>
        <v>9.3869253889999574E-2</v>
      </c>
    </row>
    <row r="79" spans="1:7" x14ac:dyDescent="0.35">
      <c r="A79" s="2">
        <v>73.44</v>
      </c>
      <c r="B79" s="2">
        <v>7.87</v>
      </c>
      <c r="C79">
        <f t="shared" si="5"/>
        <v>5.3182355768999816</v>
      </c>
      <c r="D79">
        <f t="shared" si="6"/>
        <v>0.92612329660899873</v>
      </c>
      <c r="E79">
        <f t="shared" si="7"/>
        <v>-2.306129999999996</v>
      </c>
      <c r="F79">
        <f t="shared" si="8"/>
        <v>-0.96235299999999935</v>
      </c>
      <c r="G79">
        <f t="shared" si="9"/>
        <v>2.2193111238899945</v>
      </c>
    </row>
    <row r="80" spans="1:7" x14ac:dyDescent="0.35">
      <c r="A80" s="2">
        <v>75.180000000000007</v>
      </c>
      <c r="B80" s="2">
        <v>8.26</v>
      </c>
      <c r="C80">
        <f t="shared" si="5"/>
        <v>0.3205031768999852</v>
      </c>
      <c r="D80">
        <f t="shared" si="6"/>
        <v>0.32758795660899964</v>
      </c>
      <c r="E80">
        <f t="shared" si="7"/>
        <v>-0.56612999999998692</v>
      </c>
      <c r="F80">
        <f t="shared" si="8"/>
        <v>-0.57235299999999967</v>
      </c>
      <c r="G80">
        <f t="shared" si="9"/>
        <v>0.32402620388999231</v>
      </c>
    </row>
    <row r="81" spans="1:7" x14ac:dyDescent="0.35">
      <c r="A81" s="2">
        <v>73.53</v>
      </c>
      <c r="B81" s="2">
        <v>7.8</v>
      </c>
      <c r="C81">
        <f t="shared" si="5"/>
        <v>4.9112321768999676</v>
      </c>
      <c r="D81">
        <f t="shared" si="6"/>
        <v>1.0657527166089993</v>
      </c>
      <c r="E81">
        <f t="shared" si="7"/>
        <v>-2.2161299999999926</v>
      </c>
      <c r="F81">
        <f t="shared" si="8"/>
        <v>-1.0323529999999996</v>
      </c>
      <c r="G81">
        <f t="shared" si="9"/>
        <v>2.2878284538899916</v>
      </c>
    </row>
    <row r="82" spans="1:7" x14ac:dyDescent="0.35">
      <c r="A82" s="2">
        <v>70.31</v>
      </c>
      <c r="B82" s="2">
        <v>7.27</v>
      </c>
      <c r="C82">
        <f t="shared" si="5"/>
        <v>29.551509376899908</v>
      </c>
      <c r="D82">
        <f t="shared" si="6"/>
        <v>2.4409468966089998</v>
      </c>
      <c r="E82">
        <f t="shared" si="7"/>
        <v>-5.4361299999999915</v>
      </c>
      <c r="F82">
        <f t="shared" si="8"/>
        <v>-1.5623529999999999</v>
      </c>
      <c r="G82">
        <f t="shared" si="9"/>
        <v>8.4931540138899866</v>
      </c>
    </row>
    <row r="83" spans="1:7" x14ac:dyDescent="0.35">
      <c r="A83" s="2">
        <v>70.930000000000007</v>
      </c>
      <c r="B83" s="2">
        <v>6.54</v>
      </c>
      <c r="C83">
        <f t="shared" si="5"/>
        <v>23.195108176899875</v>
      </c>
      <c r="D83">
        <f t="shared" si="6"/>
        <v>5.2548822766089973</v>
      </c>
      <c r="E83">
        <f t="shared" si="7"/>
        <v>-4.8161299999999869</v>
      </c>
      <c r="F83">
        <f t="shared" si="8"/>
        <v>-2.2923529999999994</v>
      </c>
      <c r="G83">
        <f t="shared" si="9"/>
        <v>11.040270053889968</v>
      </c>
    </row>
    <row r="84" spans="1:7" x14ac:dyDescent="0.35">
      <c r="A84" s="2">
        <v>74.3</v>
      </c>
      <c r="B84" s="2">
        <v>7.78</v>
      </c>
      <c r="C84">
        <f t="shared" si="5"/>
        <v>2.0912919768999902</v>
      </c>
      <c r="D84">
        <f t="shared" si="6"/>
        <v>1.1074468366089982</v>
      </c>
      <c r="E84">
        <f t="shared" si="7"/>
        <v>-1.4461299999999966</v>
      </c>
      <c r="F84">
        <f t="shared" si="8"/>
        <v>-1.0523529999999992</v>
      </c>
      <c r="G84">
        <f t="shared" si="9"/>
        <v>1.5218392438899953</v>
      </c>
    </row>
    <row r="85" spans="1:7" x14ac:dyDescent="0.35">
      <c r="A85" s="2">
        <v>71.22</v>
      </c>
      <c r="B85" s="2">
        <v>6.53</v>
      </c>
      <c r="C85">
        <f t="shared" si="5"/>
        <v>20.485852776899954</v>
      </c>
      <c r="D85">
        <f t="shared" si="6"/>
        <v>5.300829336608996</v>
      </c>
      <c r="E85">
        <f t="shared" si="7"/>
        <v>-4.5261299999999949</v>
      </c>
      <c r="F85">
        <f t="shared" si="8"/>
        <v>-2.3023529999999992</v>
      </c>
      <c r="G85">
        <f t="shared" si="9"/>
        <v>10.420748983889984</v>
      </c>
    </row>
    <row r="86" spans="1:7" x14ac:dyDescent="0.35">
      <c r="A86" s="2">
        <v>71.22</v>
      </c>
      <c r="B86" s="2">
        <v>6.93</v>
      </c>
      <c r="C86">
        <f t="shared" si="5"/>
        <v>20.485852776899954</v>
      </c>
      <c r="D86">
        <f t="shared" si="6"/>
        <v>3.618946936608999</v>
      </c>
      <c r="E86">
        <f t="shared" si="7"/>
        <v>-4.5261299999999949</v>
      </c>
      <c r="F86">
        <f t="shared" si="8"/>
        <v>-1.9023529999999997</v>
      </c>
      <c r="G86">
        <f t="shared" si="9"/>
        <v>8.6102969838899899</v>
      </c>
    </row>
    <row r="87" spans="1:7" x14ac:dyDescent="0.35">
      <c r="A87" s="2">
        <v>70.849999999999994</v>
      </c>
      <c r="B87" s="2">
        <v>6.31</v>
      </c>
      <c r="C87">
        <f t="shared" si="5"/>
        <v>23.972088976899993</v>
      </c>
      <c r="D87">
        <f t="shared" si="6"/>
        <v>6.3622646566089989</v>
      </c>
      <c r="E87">
        <f t="shared" si="7"/>
        <v>-4.8961299999999994</v>
      </c>
      <c r="F87">
        <f t="shared" si="8"/>
        <v>-2.5223529999999998</v>
      </c>
      <c r="G87">
        <f t="shared" si="9"/>
        <v>12.349768193889998</v>
      </c>
    </row>
    <row r="88" spans="1:7" x14ac:dyDescent="0.35">
      <c r="A88" s="2">
        <v>72.36</v>
      </c>
      <c r="B88" s="2">
        <v>7.46</v>
      </c>
      <c r="C88">
        <f t="shared" si="5"/>
        <v>11.465876376899962</v>
      </c>
      <c r="D88">
        <f t="shared" si="6"/>
        <v>1.8833527566089987</v>
      </c>
      <c r="E88">
        <f t="shared" si="7"/>
        <v>-3.3861299999999943</v>
      </c>
      <c r="F88">
        <f t="shared" si="8"/>
        <v>-1.3723529999999995</v>
      </c>
      <c r="G88">
        <f t="shared" si="9"/>
        <v>4.6469656638899908</v>
      </c>
    </row>
    <row r="89" spans="1:7" x14ac:dyDescent="0.35">
      <c r="A89" s="2">
        <v>82.67</v>
      </c>
      <c r="B89" s="2">
        <v>10.91</v>
      </c>
      <c r="C89">
        <f t="shared" si="5"/>
        <v>47.939975776900113</v>
      </c>
      <c r="D89">
        <f t="shared" si="6"/>
        <v>4.3166170566090027</v>
      </c>
      <c r="E89">
        <f t="shared" si="7"/>
        <v>6.923870000000008</v>
      </c>
      <c r="F89">
        <f t="shared" si="8"/>
        <v>2.0776470000000007</v>
      </c>
      <c r="G89">
        <f t="shared" si="9"/>
        <v>14.385357733890022</v>
      </c>
    </row>
    <row r="90" spans="1:7" x14ac:dyDescent="0.35">
      <c r="A90" s="2">
        <v>76.69</v>
      </c>
      <c r="B90" s="2">
        <v>9.1300000000000008</v>
      </c>
      <c r="C90">
        <f t="shared" si="5"/>
        <v>0.8908905769000075</v>
      </c>
      <c r="D90">
        <f t="shared" si="6"/>
        <v>8.8593736609000787E-2</v>
      </c>
      <c r="E90">
        <f t="shared" si="7"/>
        <v>0.94387000000000398</v>
      </c>
      <c r="F90">
        <f t="shared" si="8"/>
        <v>0.29764700000000133</v>
      </c>
      <c r="G90">
        <f t="shared" si="9"/>
        <v>0.28094007389000242</v>
      </c>
    </row>
    <row r="91" spans="1:7" x14ac:dyDescent="0.35">
      <c r="A91" s="2">
        <v>75.67</v>
      </c>
      <c r="B91" s="2">
        <v>8.7799999999999994</v>
      </c>
      <c r="C91">
        <f t="shared" si="5"/>
        <v>5.7957768999987872E-3</v>
      </c>
      <c r="D91">
        <f t="shared" si="6"/>
        <v>2.7408366090000097E-3</v>
      </c>
      <c r="E91">
        <f t="shared" si="7"/>
        <v>-7.6129999999992037E-2</v>
      </c>
      <c r="F91">
        <f t="shared" si="8"/>
        <v>-5.2353000000000094E-2</v>
      </c>
      <c r="G91">
        <f t="shared" si="9"/>
        <v>3.9856338899995902E-3</v>
      </c>
    </row>
    <row r="92" spans="1:7" x14ac:dyDescent="0.35">
      <c r="A92" s="2">
        <v>75.239999999999995</v>
      </c>
      <c r="B92" s="2">
        <v>8.25</v>
      </c>
      <c r="C92">
        <f t="shared" si="5"/>
        <v>0.25616757689999886</v>
      </c>
      <c r="D92">
        <f t="shared" si="6"/>
        <v>0.33913501660899936</v>
      </c>
      <c r="E92">
        <f t="shared" si="7"/>
        <v>-0.50612999999999886</v>
      </c>
      <c r="F92">
        <f t="shared" si="8"/>
        <v>-0.58235299999999945</v>
      </c>
      <c r="G92">
        <f t="shared" si="9"/>
        <v>0.29474632388999905</v>
      </c>
    </row>
    <row r="93" spans="1:7" x14ac:dyDescent="0.35">
      <c r="A93" s="2">
        <v>74.81</v>
      </c>
      <c r="B93" s="2">
        <v>8.1999999999999993</v>
      </c>
      <c r="C93">
        <f t="shared" si="5"/>
        <v>0.87633937689998398</v>
      </c>
      <c r="D93">
        <f t="shared" si="6"/>
        <v>0.39987031660900019</v>
      </c>
      <c r="E93">
        <f t="shared" si="7"/>
        <v>-0.93612999999999147</v>
      </c>
      <c r="F93">
        <f t="shared" si="8"/>
        <v>-0.63235300000000016</v>
      </c>
      <c r="G93">
        <f t="shared" si="9"/>
        <v>0.59196461388999477</v>
      </c>
    </row>
    <row r="94" spans="1:7" x14ac:dyDescent="0.35">
      <c r="A94" s="2">
        <v>76.77</v>
      </c>
      <c r="B94" s="2">
        <v>8.69</v>
      </c>
      <c r="C94">
        <f t="shared" si="5"/>
        <v>1.0483097769000047</v>
      </c>
      <c r="D94">
        <f t="shared" si="6"/>
        <v>2.0264376608999986E-2</v>
      </c>
      <c r="E94">
        <f t="shared" si="7"/>
        <v>1.0238700000000023</v>
      </c>
      <c r="F94">
        <f t="shared" si="8"/>
        <v>-0.14235299999999995</v>
      </c>
      <c r="G94">
        <f t="shared" si="9"/>
        <v>-0.14575096611000027</v>
      </c>
    </row>
    <row r="95" spans="1:7" x14ac:dyDescent="0.35">
      <c r="A95" s="2">
        <v>73.91</v>
      </c>
      <c r="B95" s="2">
        <v>7.84</v>
      </c>
      <c r="C95">
        <f t="shared" si="5"/>
        <v>3.3713733768999896</v>
      </c>
      <c r="D95">
        <f t="shared" si="6"/>
        <v>0.98476447660899924</v>
      </c>
      <c r="E95">
        <f t="shared" si="7"/>
        <v>-1.8361299999999972</v>
      </c>
      <c r="F95">
        <f t="shared" si="8"/>
        <v>-0.9923529999999996</v>
      </c>
      <c r="G95">
        <f t="shared" si="9"/>
        <v>1.8220891138899964</v>
      </c>
    </row>
    <row r="96" spans="1:7" x14ac:dyDescent="0.35">
      <c r="A96" s="2">
        <v>72.75</v>
      </c>
      <c r="B96" s="2">
        <v>7.59</v>
      </c>
      <c r="C96">
        <f t="shared" si="5"/>
        <v>8.9767949768999618</v>
      </c>
      <c r="D96">
        <f t="shared" si="6"/>
        <v>1.5434409766089989</v>
      </c>
      <c r="E96">
        <f t="shared" si="7"/>
        <v>-2.9961299999999937</v>
      </c>
      <c r="F96">
        <f t="shared" si="8"/>
        <v>-1.2423529999999996</v>
      </c>
      <c r="G96">
        <f t="shared" si="9"/>
        <v>3.7222510938899909</v>
      </c>
    </row>
    <row r="97" spans="1:7" x14ac:dyDescent="0.35">
      <c r="A97" s="2">
        <v>72.31</v>
      </c>
      <c r="B97" s="2">
        <v>7.53</v>
      </c>
      <c r="C97">
        <f t="shared" si="5"/>
        <v>11.806989376899942</v>
      </c>
      <c r="D97">
        <f t="shared" si="6"/>
        <v>1.6961233366089978</v>
      </c>
      <c r="E97">
        <f t="shared" si="7"/>
        <v>-3.4361299999999915</v>
      </c>
      <c r="F97">
        <f t="shared" si="8"/>
        <v>-1.3023529999999992</v>
      </c>
      <c r="G97">
        <f t="shared" si="9"/>
        <v>4.4750542138899858</v>
      </c>
    </row>
    <row r="98" spans="1:7" x14ac:dyDescent="0.35">
      <c r="A98" s="2">
        <v>75.900000000000006</v>
      </c>
      <c r="B98" s="2">
        <v>8.48</v>
      </c>
      <c r="C98">
        <f t="shared" si="5"/>
        <v>2.3675976900003674E-2</v>
      </c>
      <c r="D98">
        <f t="shared" si="6"/>
        <v>0.12415263660899932</v>
      </c>
      <c r="E98">
        <f t="shared" si="7"/>
        <v>0.15387000000001194</v>
      </c>
      <c r="F98">
        <f t="shared" si="8"/>
        <v>-0.35235299999999903</v>
      </c>
      <c r="G98">
        <f t="shared" si="9"/>
        <v>-5.421655611000406E-2</v>
      </c>
    </row>
    <row r="99" spans="1:7" x14ac:dyDescent="0.35">
      <c r="A99" s="2">
        <v>78.930000000000007</v>
      </c>
      <c r="B99" s="2">
        <v>10.029999999999999</v>
      </c>
      <c r="C99">
        <f t="shared" si="5"/>
        <v>10.137028176900083</v>
      </c>
      <c r="D99">
        <f t="shared" si="6"/>
        <v>1.4343583366089998</v>
      </c>
      <c r="E99">
        <f t="shared" si="7"/>
        <v>3.1838700000000131</v>
      </c>
      <c r="F99">
        <f t="shared" si="8"/>
        <v>1.1976469999999999</v>
      </c>
      <c r="G99">
        <f t="shared" si="9"/>
        <v>3.8131523538900152</v>
      </c>
    </row>
    <row r="100" spans="1:7" x14ac:dyDescent="0.35">
      <c r="A100" s="2">
        <v>67.33</v>
      </c>
      <c r="B100" s="2">
        <v>6.01</v>
      </c>
      <c r="C100">
        <f t="shared" si="5"/>
        <v>70.831244176899929</v>
      </c>
      <c r="D100">
        <f t="shared" si="6"/>
        <v>7.9656764566089979</v>
      </c>
      <c r="E100">
        <f t="shared" si="7"/>
        <v>-8.4161299999999954</v>
      </c>
      <c r="F100">
        <f t="shared" si="8"/>
        <v>-2.8223529999999997</v>
      </c>
      <c r="G100">
        <f t="shared" si="9"/>
        <v>23.753289753889984</v>
      </c>
    </row>
    <row r="101" spans="1:7" x14ac:dyDescent="0.35">
      <c r="A101" s="2">
        <v>66.72</v>
      </c>
      <c r="B101" s="2">
        <v>5.08</v>
      </c>
      <c r="C101">
        <f t="shared" si="5"/>
        <v>81.4710227768999</v>
      </c>
      <c r="D101">
        <f t="shared" si="6"/>
        <v>14.080153036608996</v>
      </c>
      <c r="E101">
        <f t="shared" si="7"/>
        <v>-9.0261299999999949</v>
      </c>
      <c r="F101">
        <f t="shared" si="8"/>
        <v>-3.7523529999999994</v>
      </c>
      <c r="G101">
        <f t="shared" si="9"/>
        <v>33.869225983889976</v>
      </c>
    </row>
    <row r="102" spans="1:7" x14ac:dyDescent="0.35">
      <c r="A102" s="2">
        <v>70.849999999999994</v>
      </c>
      <c r="B102" s="2">
        <v>7.17</v>
      </c>
      <c r="C102">
        <f t="shared" si="5"/>
        <v>23.972088976899993</v>
      </c>
      <c r="D102">
        <f t="shared" si="6"/>
        <v>2.7634174966089984</v>
      </c>
      <c r="E102">
        <f t="shared" si="7"/>
        <v>-4.8961299999999994</v>
      </c>
      <c r="F102">
        <f t="shared" si="8"/>
        <v>-1.6623529999999995</v>
      </c>
      <c r="G102">
        <f t="shared" si="9"/>
        <v>8.1390963938899965</v>
      </c>
    </row>
    <row r="103" spans="1:7" x14ac:dyDescent="0.35">
      <c r="A103" s="2">
        <v>69.78</v>
      </c>
      <c r="B103" s="2">
        <v>6.1</v>
      </c>
      <c r="C103">
        <f t="shared" si="5"/>
        <v>35.594707176899909</v>
      </c>
      <c r="D103">
        <f t="shared" si="6"/>
        <v>7.4657529166089986</v>
      </c>
      <c r="E103">
        <f t="shared" si="7"/>
        <v>-5.9661299999999926</v>
      </c>
      <c r="F103">
        <f t="shared" si="8"/>
        <v>-2.7323529999999998</v>
      </c>
      <c r="G103">
        <f t="shared" si="9"/>
        <v>16.30157320388998</v>
      </c>
    </row>
    <row r="104" spans="1:7" x14ac:dyDescent="0.35">
      <c r="A104" s="2">
        <v>81.88</v>
      </c>
      <c r="B104" s="2">
        <v>10.92</v>
      </c>
      <c r="C104">
        <f t="shared" si="5"/>
        <v>37.624361176900024</v>
      </c>
      <c r="D104">
        <f t="shared" si="6"/>
        <v>4.3582699966090024</v>
      </c>
      <c r="E104">
        <f t="shared" si="7"/>
        <v>6.1338700000000017</v>
      </c>
      <c r="F104">
        <f t="shared" si="8"/>
        <v>2.0876470000000005</v>
      </c>
      <c r="G104">
        <f t="shared" si="9"/>
        <v>12.805355303890007</v>
      </c>
    </row>
    <row r="105" spans="1:7" x14ac:dyDescent="0.35">
      <c r="A105" s="2">
        <v>81.44</v>
      </c>
      <c r="B105" s="2">
        <v>10.82</v>
      </c>
      <c r="C105">
        <f t="shared" si="5"/>
        <v>32.420155576900044</v>
      </c>
      <c r="D105">
        <f t="shared" si="6"/>
        <v>3.9507405966090032</v>
      </c>
      <c r="E105">
        <f t="shared" si="7"/>
        <v>5.693870000000004</v>
      </c>
      <c r="F105">
        <f t="shared" si="8"/>
        <v>1.9876470000000008</v>
      </c>
      <c r="G105">
        <f t="shared" si="9"/>
        <v>11.317403623890012</v>
      </c>
    </row>
    <row r="106" spans="1:7" x14ac:dyDescent="0.35">
      <c r="A106" s="2">
        <v>84.68</v>
      </c>
      <c r="B106" s="2">
        <v>11.14</v>
      </c>
      <c r="C106">
        <f t="shared" si="5"/>
        <v>79.814033176900239</v>
      </c>
      <c r="D106">
        <f t="shared" si="6"/>
        <v>5.3252346766090053</v>
      </c>
      <c r="E106">
        <f t="shared" si="7"/>
        <v>8.9338700000000131</v>
      </c>
      <c r="F106">
        <f t="shared" si="8"/>
        <v>2.3076470000000011</v>
      </c>
      <c r="G106">
        <f t="shared" si="9"/>
        <v>20.61621830389004</v>
      </c>
    </row>
    <row r="107" spans="1:7" x14ac:dyDescent="0.35">
      <c r="A107" s="2">
        <v>77.790000000000006</v>
      </c>
      <c r="B107" s="2">
        <v>9.7200000000000006</v>
      </c>
      <c r="C107">
        <f t="shared" si="5"/>
        <v>4.1774045769000514</v>
      </c>
      <c r="D107">
        <f t="shared" si="6"/>
        <v>0.78791719660900206</v>
      </c>
      <c r="E107">
        <f t="shared" si="7"/>
        <v>2.0438700000000125</v>
      </c>
      <c r="F107">
        <f t="shared" si="8"/>
        <v>0.88764700000000119</v>
      </c>
      <c r="G107">
        <f t="shared" si="9"/>
        <v>1.8142350738900135</v>
      </c>
    </row>
    <row r="108" spans="1:7" x14ac:dyDescent="0.35">
      <c r="A108" s="2">
        <v>78.900000000000006</v>
      </c>
      <c r="B108" s="2">
        <v>9.94</v>
      </c>
      <c r="C108">
        <f t="shared" si="5"/>
        <v>9.9468959769000751</v>
      </c>
      <c r="D108">
        <f t="shared" si="6"/>
        <v>1.2268818766090002</v>
      </c>
      <c r="E108">
        <f t="shared" si="7"/>
        <v>3.1538700000000119</v>
      </c>
      <c r="F108">
        <f t="shared" si="8"/>
        <v>1.107647</v>
      </c>
      <c r="G108">
        <f t="shared" si="9"/>
        <v>3.4933746438900135</v>
      </c>
    </row>
    <row r="109" spans="1:7" x14ac:dyDescent="0.35">
      <c r="A109" s="2">
        <v>81.760000000000005</v>
      </c>
      <c r="B109" s="2">
        <v>11.38</v>
      </c>
      <c r="C109">
        <f t="shared" si="5"/>
        <v>36.166632376900139</v>
      </c>
      <c r="D109">
        <f t="shared" si="6"/>
        <v>6.4905052366090068</v>
      </c>
      <c r="E109">
        <f t="shared" si="7"/>
        <v>6.0138700000000114</v>
      </c>
      <c r="F109">
        <f t="shared" si="8"/>
        <v>2.5476470000000013</v>
      </c>
      <c r="G109">
        <f t="shared" si="9"/>
        <v>15.321217863890038</v>
      </c>
    </row>
    <row r="110" spans="1:7" x14ac:dyDescent="0.35">
      <c r="A110" s="2">
        <v>84.51</v>
      </c>
      <c r="B110" s="2">
        <v>12.11</v>
      </c>
      <c r="C110">
        <f t="shared" si="5"/>
        <v>76.805417376900195</v>
      </c>
      <c r="D110">
        <f t="shared" si="6"/>
        <v>10.742969856608999</v>
      </c>
      <c r="E110">
        <f t="shared" si="7"/>
        <v>8.7638700000000114</v>
      </c>
      <c r="F110">
        <f t="shared" si="8"/>
        <v>3.277647</v>
      </c>
      <c r="G110">
        <f t="shared" si="9"/>
        <v>28.724872213890038</v>
      </c>
    </row>
    <row r="111" spans="1:7" x14ac:dyDescent="0.35">
      <c r="A111" s="2">
        <v>84.69</v>
      </c>
      <c r="B111" s="2">
        <v>10.89</v>
      </c>
      <c r="C111">
        <f t="shared" si="5"/>
        <v>79.992810576900069</v>
      </c>
      <c r="D111">
        <f t="shared" si="6"/>
        <v>4.2339111766090047</v>
      </c>
      <c r="E111">
        <f t="shared" si="7"/>
        <v>8.943870000000004</v>
      </c>
      <c r="F111">
        <f t="shared" si="8"/>
        <v>2.0576470000000011</v>
      </c>
      <c r="G111">
        <f t="shared" si="9"/>
        <v>18.403327273890017</v>
      </c>
    </row>
    <row r="112" spans="1:7" x14ac:dyDescent="0.35">
      <c r="A112" s="2">
        <v>79.69</v>
      </c>
      <c r="B112" s="2">
        <v>9.8699999999999992</v>
      </c>
      <c r="C112">
        <f t="shared" si="5"/>
        <v>15.554110576900031</v>
      </c>
      <c r="D112">
        <f t="shared" si="6"/>
        <v>1.0767112966089996</v>
      </c>
      <c r="E112">
        <f t="shared" si="7"/>
        <v>3.943870000000004</v>
      </c>
      <c r="F112">
        <f t="shared" si="8"/>
        <v>1.0376469999999998</v>
      </c>
      <c r="G112">
        <f t="shared" si="9"/>
        <v>4.0923448738900028</v>
      </c>
    </row>
    <row r="113" spans="1:7" x14ac:dyDescent="0.35">
      <c r="A113" s="2">
        <v>70.88</v>
      </c>
      <c r="B113" s="2">
        <v>7.16</v>
      </c>
      <c r="C113">
        <f t="shared" si="5"/>
        <v>23.679221176899983</v>
      </c>
      <c r="D113">
        <f t="shared" si="6"/>
        <v>2.7967645566089976</v>
      </c>
      <c r="E113">
        <f t="shared" si="7"/>
        <v>-4.8661299999999983</v>
      </c>
      <c r="F113">
        <f t="shared" si="8"/>
        <v>-1.6723529999999993</v>
      </c>
      <c r="G113">
        <f t="shared" si="9"/>
        <v>8.1378871038899945</v>
      </c>
    </row>
    <row r="114" spans="1:7" x14ac:dyDescent="0.35">
      <c r="A114" s="2">
        <v>68.33</v>
      </c>
      <c r="B114" s="2">
        <v>6.61</v>
      </c>
      <c r="C114">
        <f t="shared" si="5"/>
        <v>54.998984176899931</v>
      </c>
      <c r="D114">
        <f t="shared" si="6"/>
        <v>4.938852856608996</v>
      </c>
      <c r="E114">
        <f t="shared" si="7"/>
        <v>-7.4161299999999954</v>
      </c>
      <c r="F114">
        <f t="shared" si="8"/>
        <v>-2.2223529999999991</v>
      </c>
      <c r="G114">
        <f t="shared" si="9"/>
        <v>16.481258753889982</v>
      </c>
    </row>
    <row r="115" spans="1:7" x14ac:dyDescent="0.35">
      <c r="A115" s="2">
        <v>76.19</v>
      </c>
      <c r="B115" s="2">
        <v>9.06</v>
      </c>
      <c r="C115">
        <f t="shared" si="5"/>
        <v>0.19702057690000355</v>
      </c>
      <c r="D115">
        <f t="shared" si="6"/>
        <v>5.1823156609000477E-2</v>
      </c>
      <c r="E115">
        <f t="shared" si="7"/>
        <v>0.44387000000000398</v>
      </c>
      <c r="F115">
        <f t="shared" si="8"/>
        <v>0.22764700000000104</v>
      </c>
      <c r="G115">
        <f t="shared" si="9"/>
        <v>0.10104567389000137</v>
      </c>
    </row>
    <row r="116" spans="1:7" x14ac:dyDescent="0.35">
      <c r="A116" s="2">
        <v>73.28</v>
      </c>
      <c r="B116" s="2">
        <v>7.88</v>
      </c>
      <c r="C116">
        <f t="shared" si="5"/>
        <v>6.0817971768999639</v>
      </c>
      <c r="D116">
        <f t="shared" si="6"/>
        <v>0.90697623660899918</v>
      </c>
      <c r="E116">
        <f t="shared" si="7"/>
        <v>-2.4661299999999926</v>
      </c>
      <c r="F116">
        <f t="shared" si="8"/>
        <v>-0.95235299999999956</v>
      </c>
      <c r="G116">
        <f t="shared" si="9"/>
        <v>2.3486263038899917</v>
      </c>
    </row>
    <row r="117" spans="1:7" x14ac:dyDescent="0.35">
      <c r="A117" s="2">
        <v>81.53</v>
      </c>
      <c r="B117" s="2">
        <v>11.14</v>
      </c>
      <c r="C117">
        <f t="shared" si="5"/>
        <v>33.453152176900083</v>
      </c>
      <c r="D117">
        <f t="shared" si="6"/>
        <v>5.3252346766090053</v>
      </c>
      <c r="E117">
        <f t="shared" si="7"/>
        <v>5.7838700000000074</v>
      </c>
      <c r="F117">
        <f t="shared" si="8"/>
        <v>2.3076470000000011</v>
      </c>
      <c r="G117">
        <f t="shared" si="9"/>
        <v>13.347130253890024</v>
      </c>
    </row>
    <row r="118" spans="1:7" x14ac:dyDescent="0.35">
      <c r="A118" s="2">
        <v>78.83</v>
      </c>
      <c r="B118" s="2">
        <v>10.39</v>
      </c>
      <c r="C118">
        <f t="shared" si="5"/>
        <v>9.5102541769000286</v>
      </c>
      <c r="D118">
        <f t="shared" si="6"/>
        <v>2.4262641766090036</v>
      </c>
      <c r="E118">
        <f t="shared" si="7"/>
        <v>3.0838700000000046</v>
      </c>
      <c r="F118">
        <f t="shared" si="8"/>
        <v>1.5576470000000011</v>
      </c>
      <c r="G118">
        <f t="shared" si="9"/>
        <v>4.8035808538900104</v>
      </c>
    </row>
    <row r="119" spans="1:7" x14ac:dyDescent="0.35">
      <c r="A119" s="2">
        <v>76.900000000000006</v>
      </c>
      <c r="B119" s="2">
        <v>8.93</v>
      </c>
      <c r="C119">
        <f t="shared" si="5"/>
        <v>1.3314159769000276</v>
      </c>
      <c r="D119">
        <f t="shared" si="6"/>
        <v>9.5349366090000508E-3</v>
      </c>
      <c r="E119">
        <f t="shared" si="7"/>
        <v>1.1538700000000119</v>
      </c>
      <c r="F119">
        <f t="shared" si="8"/>
        <v>9.7647000000000261E-2</v>
      </c>
      <c r="G119">
        <f t="shared" si="9"/>
        <v>0.11267194389000147</v>
      </c>
    </row>
    <row r="120" spans="1:7" x14ac:dyDescent="0.35">
      <c r="A120" s="2">
        <v>84.16</v>
      </c>
      <c r="B120" s="2">
        <v>11.86</v>
      </c>
      <c r="C120">
        <f t="shared" si="5"/>
        <v>70.793208376900054</v>
      </c>
      <c r="D120">
        <f t="shared" si="6"/>
        <v>9.1666463566090002</v>
      </c>
      <c r="E120">
        <f t="shared" si="7"/>
        <v>8.4138700000000028</v>
      </c>
      <c r="F120">
        <f t="shared" si="8"/>
        <v>3.027647</v>
      </c>
      <c r="G120">
        <f t="shared" si="9"/>
        <v>25.474228263890009</v>
      </c>
    </row>
    <row r="121" spans="1:7" x14ac:dyDescent="0.35">
      <c r="C121">
        <f>SUM(C2:C120)</f>
        <v>2969.6208218510997</v>
      </c>
      <c r="D121">
        <f>SUM(D2:D120)</f>
        <v>319.19214117647095</v>
      </c>
      <c r="G121">
        <f>SUM(G2:G120)</f>
        <v>917.66998235290976</v>
      </c>
    </row>
    <row r="122" spans="1:7" x14ac:dyDescent="0.35">
      <c r="A122">
        <f>AVERAGE(A2:A120)</f>
        <v>75.746134453781551</v>
      </c>
      <c r="B122">
        <f>AVERAGE(B2:B120)</f>
        <v>8.8323529411764667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Faaiz Al-Zakkii</dc:creator>
  <cp:lastModifiedBy>Daffa Faaiz Al-Zakkii</cp:lastModifiedBy>
  <dcterms:created xsi:type="dcterms:W3CDTF">2026-02-03T07:17:31Z</dcterms:created>
  <dcterms:modified xsi:type="dcterms:W3CDTF">2026-02-09T10:51:51Z</dcterms:modified>
</cp:coreProperties>
</file>